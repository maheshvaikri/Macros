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0" yWindow="0" windowWidth="19440" windowHeight="15480" tabRatio="500"/>
  </bookViews>
  <sheets>
    <sheet name="2 week survey" sheetId="6" r:id="rId1"/>
    <sheet name="3 week survey" sheetId="7" r:id="rId2"/>
    <sheet name="4 week survey" sheetId="8" r:id="rId3"/>
    <sheet name="5 week survey" sheetId="9" r:id="rId4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7" i="9"/>
  <c r="F31"/>
  <c r="F30"/>
  <c r="F29"/>
  <c r="F28"/>
  <c r="F25"/>
  <c r="F26"/>
  <c r="F24"/>
  <c r="F23"/>
  <c r="F21"/>
  <c r="F22"/>
  <c r="F20"/>
  <c r="F19"/>
  <c r="F18"/>
  <c r="F17"/>
  <c r="F16"/>
  <c r="F15"/>
  <c r="F14"/>
  <c r="F13"/>
  <c r="F12"/>
  <c r="F11"/>
  <c r="F10"/>
  <c r="F9"/>
  <c r="F8"/>
  <c r="F7"/>
  <c r="F6"/>
  <c r="F26" i="8"/>
  <c r="F30"/>
  <c r="F29"/>
  <c r="F28"/>
  <c r="F27"/>
  <c r="F24"/>
  <c r="F25"/>
  <c r="F23"/>
  <c r="F21"/>
  <c r="F22"/>
  <c r="F20"/>
  <c r="F19"/>
  <c r="F18"/>
  <c r="F17"/>
  <c r="F16"/>
  <c r="F15"/>
  <c r="F14"/>
  <c r="F13"/>
  <c r="F12"/>
  <c r="F11"/>
  <c r="F10"/>
  <c r="F9"/>
  <c r="F8"/>
  <c r="F7"/>
  <c r="F6"/>
  <c r="F27" i="6"/>
  <c r="F28"/>
  <c r="F29"/>
  <c r="F29" i="7"/>
  <c r="F28"/>
  <c r="F27"/>
  <c r="F26"/>
  <c r="F25"/>
  <c r="F24"/>
  <c r="F23"/>
  <c r="F21"/>
  <c r="F22"/>
  <c r="F20"/>
  <c r="F19"/>
  <c r="F18"/>
  <c r="F17"/>
  <c r="F16"/>
  <c r="F15"/>
  <c r="F14"/>
  <c r="F13"/>
  <c r="F12"/>
  <c r="F11"/>
  <c r="F10"/>
  <c r="F9"/>
  <c r="F8"/>
  <c r="F7"/>
  <c r="F6"/>
  <c r="F6" i="6"/>
  <c r="F26"/>
  <c r="F25"/>
  <c r="F24"/>
  <c r="F23"/>
  <c r="F21"/>
  <c r="F22"/>
  <c r="F20"/>
  <c r="F19"/>
  <c r="F18"/>
  <c r="F17"/>
  <c r="F16"/>
  <c r="F15"/>
  <c r="F14"/>
  <c r="F13"/>
  <c r="F12"/>
  <c r="F11"/>
  <c r="F10"/>
  <c r="F9"/>
  <c r="F8"/>
  <c r="F7"/>
</calcChain>
</file>

<file path=xl/comments1.xml><?xml version="1.0" encoding="utf-8"?>
<comments xmlns="http://schemas.openxmlformats.org/spreadsheetml/2006/main">
  <authors>
    <author>Matthew Farley</author>
  </authors>
  <commentList>
    <comment ref="F3" authorId="0">
      <text>
        <r>
          <rPr>
            <b/>
            <sz val="9"/>
            <color indexed="81"/>
            <rFont val="Calibri"/>
            <family val="2"/>
          </rPr>
          <t>Enter closing date for survey in this cell</t>
        </r>
      </text>
    </comment>
  </commentList>
</comments>
</file>

<file path=xl/comments2.xml><?xml version="1.0" encoding="utf-8"?>
<comments xmlns="http://schemas.openxmlformats.org/spreadsheetml/2006/main">
  <authors>
    <author>Matthew Farley</author>
  </authors>
  <commentList>
    <comment ref="F3" authorId="0">
      <text>
        <r>
          <rPr>
            <b/>
            <sz val="9"/>
            <color indexed="81"/>
            <rFont val="Calibri"/>
            <family val="2"/>
          </rPr>
          <t>Enter closing date for survey in this cell</t>
        </r>
      </text>
    </comment>
  </commentList>
</comments>
</file>

<file path=xl/comments3.xml><?xml version="1.0" encoding="utf-8"?>
<comments xmlns="http://schemas.openxmlformats.org/spreadsheetml/2006/main">
  <authors>
    <author>Matthew Farley</author>
  </authors>
  <commentList>
    <comment ref="F3" authorId="0">
      <text>
        <r>
          <rPr>
            <b/>
            <sz val="9"/>
            <color indexed="81"/>
            <rFont val="Calibri"/>
            <family val="2"/>
          </rPr>
          <t>Enter closing date for survey in this cell</t>
        </r>
      </text>
    </comment>
  </commentList>
</comments>
</file>

<file path=xl/sharedStrings.xml><?xml version="1.0" encoding="utf-8"?>
<sst xmlns="http://schemas.openxmlformats.org/spreadsheetml/2006/main" count="289" uniqueCount="60">
  <si>
    <t>closing date:</t>
  </si>
  <si>
    <t>Prepare xls, Critical dates etc</t>
  </si>
  <si>
    <t>Confirm Details</t>
  </si>
  <si>
    <t>5 weeks before open</t>
  </si>
  <si>
    <t>4 weeks before open</t>
  </si>
  <si>
    <t>SendmParticipants xls to CTA</t>
  </si>
  <si>
    <t>Critical Dates sent to CTA as ref</t>
  </si>
  <si>
    <t>3 weeks before open</t>
  </si>
  <si>
    <t>Check statements, letter wording, standards etc confirmed</t>
  </si>
  <si>
    <t>2 weeks before</t>
  </si>
  <si>
    <t>CTA returns xls</t>
  </si>
  <si>
    <t>Start survey setup</t>
  </si>
  <si>
    <t>Comms letters w/statements pdf</t>
  </si>
  <si>
    <t>mailmerge sent to CTA</t>
  </si>
  <si>
    <t>CTA sends out Comms letters w statement oodf and Mailmerge</t>
  </si>
  <si>
    <t>1 week before</t>
  </si>
  <si>
    <t>day of week</t>
  </si>
  <si>
    <t>Mon</t>
  </si>
  <si>
    <t>Work Days before close</t>
  </si>
  <si>
    <t>Tue</t>
  </si>
  <si>
    <t>Thu</t>
  </si>
  <si>
    <t>Fri</t>
  </si>
  <si>
    <t>Participants receive comms letters</t>
  </si>
  <si>
    <t>Mailmerge by COB</t>
  </si>
  <si>
    <t>Complete survey sey up</t>
  </si>
  <si>
    <t>Remove Hold Flags</t>
  </si>
  <si>
    <t>Survey week 1</t>
  </si>
  <si>
    <t>Survey intros 20:00</t>
  </si>
  <si>
    <t>Survey opens 00:01</t>
  </si>
  <si>
    <t>1st reminder</t>
  </si>
  <si>
    <t>Survey week 2</t>
  </si>
  <si>
    <t>2nd reminder 20:00</t>
  </si>
  <si>
    <t>Wed</t>
  </si>
  <si>
    <t>1st Response Breakdown</t>
  </si>
  <si>
    <t>2nd Response Breakdown</t>
  </si>
  <si>
    <t>Survey Close 00:001</t>
  </si>
  <si>
    <t>= close date</t>
  </si>
  <si>
    <t>Remove checks and low responses</t>
  </si>
  <si>
    <t>Download data</t>
  </si>
  <si>
    <t>Task:</t>
  </si>
  <si>
    <t>Date:</t>
  </si>
  <si>
    <t>Survey close for client COB</t>
  </si>
  <si>
    <t>Survey week 3</t>
  </si>
  <si>
    <t>2/08/2013</t>
  </si>
  <si>
    <t>Survey week 4</t>
  </si>
  <si>
    <t>3rd Response Breakdown</t>
  </si>
  <si>
    <t>-22 (  2 days after open!)</t>
  </si>
  <si>
    <t>4th Response Breakdown</t>
  </si>
  <si>
    <t>Survey week 5</t>
  </si>
  <si>
    <t>Important Dates for Two Week Survey</t>
  </si>
  <si>
    <t>Important Dates for Three Week Survey</t>
  </si>
  <si>
    <t>Important Dates for Four Week Survey</t>
  </si>
  <si>
    <t>Important Dates for Five Week Survey</t>
  </si>
  <si>
    <t>-8 (  2 days after open!)</t>
  </si>
  <si>
    <t>-15 (  2 days after open!)</t>
  </si>
  <si>
    <t>-29 (  2 days after open!)</t>
  </si>
  <si>
    <t>Client</t>
  </si>
  <si>
    <t>*ClientName*</t>
  </si>
  <si>
    <t>Closing date for survey:</t>
  </si>
  <si>
    <t>`</t>
  </si>
</sst>
</file>

<file path=xl/styles.xml><?xml version="1.0" encoding="utf-8"?>
<styleSheet xmlns="http://schemas.openxmlformats.org/spreadsheetml/2006/main">
  <numFmts count="2">
    <numFmt numFmtId="164" formatCode="[$-1409]dddd\,\ d\ mmmm\ yyyy;@"/>
    <numFmt numFmtId="165" formatCode="[$-F800]dddd\,\ mmmm\ dd\,\ yyyy"/>
  </numFmts>
  <fonts count="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206"/>
      <name val="Calibri"/>
      <family val="2"/>
    </font>
    <font>
      <b/>
      <sz val="12"/>
      <color rgb="FFFF0000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b/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3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1" xfId="0" applyFont="1" applyBorder="1"/>
    <xf numFmtId="0" fontId="0" fillId="0" borderId="3" xfId="0" applyBorder="1"/>
    <xf numFmtId="165" fontId="0" fillId="0" borderId="4" xfId="0" applyNumberFormat="1" applyBorder="1"/>
    <xf numFmtId="164" fontId="0" fillId="0" borderId="4" xfId="0" applyNumberFormat="1" applyBorder="1"/>
    <xf numFmtId="0" fontId="0" fillId="0" borderId="5" xfId="0" applyBorder="1"/>
    <xf numFmtId="164" fontId="0" fillId="0" borderId="6" xfId="0" applyNumberFormat="1" applyBorder="1"/>
    <xf numFmtId="0" fontId="1" fillId="0" borderId="7" xfId="0" applyFont="1" applyBorder="1"/>
    <xf numFmtId="0" fontId="1" fillId="0" borderId="2" xfId="0" applyFont="1" applyBorder="1"/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164" fontId="0" fillId="0" borderId="8" xfId="0" applyNumberFormat="1" applyFill="1" applyBorder="1" applyAlignment="1">
      <alignment horizontal="right"/>
    </xf>
    <xf numFmtId="164" fontId="0" fillId="0" borderId="8" xfId="0" applyNumberFormat="1" applyFill="1" applyBorder="1"/>
    <xf numFmtId="0" fontId="0" fillId="2" borderId="9" xfId="0" applyFill="1" applyBorder="1"/>
    <xf numFmtId="0" fontId="0" fillId="2" borderId="10" xfId="0" applyFill="1" applyBorder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6" borderId="0" xfId="0" applyFont="1" applyFill="1"/>
    <xf numFmtId="0" fontId="2" fillId="4" borderId="0" xfId="0" applyFont="1" applyFill="1"/>
    <xf numFmtId="0" fontId="2" fillId="5" borderId="0" xfId="0" applyFont="1" applyFill="1"/>
    <xf numFmtId="0" fontId="7" fillId="6" borderId="0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905"/>
  <ax:ocxPr ax:name="_ExtentY" ax:value="1905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1488"/>
</ax:ocx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905"/>
  <ax:ocxPr ax:name="_ExtentY" ax:value="1905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1488"/>
</ax:ocx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905"/>
  <ax:ocxPr ax:name="_ExtentY" ax:value="1905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1488"/>
</ax:ocx>
</file>

<file path=xl/activeX/activeX4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905"/>
  <ax:ocxPr ax:name="_ExtentY" ax:value="1905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148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9" tint="0.79998168889431442"/>
    <pageSetUpPr autoPageBreaks="0"/>
  </sheetPr>
  <dimension ref="A1:G29"/>
  <sheetViews>
    <sheetView showGridLines="0" tabSelected="1" topLeftCell="D1" zoomScaleNormal="100" workbookViewId="0">
      <selection activeCell="H5" sqref="H5"/>
    </sheetView>
  </sheetViews>
  <sheetFormatPr defaultColWidth="11" defaultRowHeight="15.75" outlineLevelCol="1"/>
  <cols>
    <col min="1" max="1" width="18.125" style="22" hidden="1" customWidth="1" outlineLevel="1"/>
    <col min="2" max="2" width="20.125" style="22" hidden="1" customWidth="1" outlineLevel="1"/>
    <col min="3" max="3" width="11.375" style="22" hidden="1" customWidth="1" outlineLevel="1"/>
    <col min="4" max="4" width="7.875" style="22" customWidth="1" collapsed="1"/>
    <col min="5" max="5" width="58.875" style="22" customWidth="1"/>
    <col min="6" max="6" width="25.5" style="22" customWidth="1"/>
    <col min="7" max="7" width="11" style="22"/>
    <col min="8" max="8" width="13.75" style="22" customWidth="1"/>
    <col min="9" max="16384" width="11" style="22"/>
  </cols>
  <sheetData>
    <row r="1" spans="1:7" ht="32.1" customHeight="1" thickBot="1">
      <c r="A1" s="3" t="s">
        <v>18</v>
      </c>
      <c r="B1" s="3" t="s">
        <v>18</v>
      </c>
      <c r="C1" s="2" t="s">
        <v>16</v>
      </c>
      <c r="E1" s="26" t="s">
        <v>49</v>
      </c>
      <c r="F1" s="27"/>
    </row>
    <row r="2" spans="1:7" ht="15.75" customHeight="1" thickBot="1">
      <c r="A2" s="1"/>
      <c r="B2" s="1"/>
      <c r="C2" s="1"/>
      <c r="E2" s="10" t="s">
        <v>56</v>
      </c>
      <c r="F2" s="14" t="s">
        <v>57</v>
      </c>
    </row>
    <row r="3" spans="1:7" ht="30.75" customHeight="1" thickBot="1">
      <c r="A3" s="1"/>
      <c r="B3" s="1"/>
      <c r="C3" s="1"/>
      <c r="E3" s="10" t="s">
        <v>58</v>
      </c>
      <c r="F3" s="14" t="s">
        <v>43</v>
      </c>
      <c r="G3" s="23"/>
    </row>
    <row r="4" spans="1:7" ht="16.5" thickBot="1">
      <c r="A4" s="1"/>
      <c r="B4" s="1"/>
      <c r="C4" s="1"/>
      <c r="E4" s="16"/>
      <c r="F4" s="17"/>
    </row>
    <row r="5" spans="1:7">
      <c r="A5" s="1"/>
      <c r="B5" s="1"/>
      <c r="C5" s="1"/>
      <c r="E5" s="4" t="s">
        <v>39</v>
      </c>
      <c r="F5" s="11" t="s">
        <v>40</v>
      </c>
    </row>
    <row r="6" spans="1:7">
      <c r="A6" s="1" t="s">
        <v>3</v>
      </c>
      <c r="B6" s="12">
        <v>-46</v>
      </c>
      <c r="C6" s="1" t="s">
        <v>17</v>
      </c>
      <c r="E6" s="5" t="s">
        <v>1</v>
      </c>
      <c r="F6" s="6">
        <f t="shared" ref="F6" si="0">$F$3+B6</f>
        <v>41442</v>
      </c>
    </row>
    <row r="7" spans="1:7">
      <c r="A7" s="1"/>
      <c r="B7" s="12">
        <v>-46</v>
      </c>
      <c r="C7" s="1" t="s">
        <v>17</v>
      </c>
      <c r="E7" s="5" t="s">
        <v>2</v>
      </c>
      <c r="F7" s="6">
        <f t="shared" ref="F7:F21" si="1">$F$3+B7</f>
        <v>41442</v>
      </c>
    </row>
    <row r="8" spans="1:7">
      <c r="A8" s="1" t="s">
        <v>4</v>
      </c>
      <c r="B8" s="12">
        <v>-39</v>
      </c>
      <c r="C8" s="1" t="s">
        <v>17</v>
      </c>
      <c r="E8" s="5" t="s">
        <v>5</v>
      </c>
      <c r="F8" s="6">
        <f t="shared" si="1"/>
        <v>41449</v>
      </c>
    </row>
    <row r="9" spans="1:7">
      <c r="A9" s="1"/>
      <c r="B9" s="12">
        <v>-39</v>
      </c>
      <c r="C9" s="1" t="s">
        <v>17</v>
      </c>
      <c r="E9" s="5" t="s">
        <v>6</v>
      </c>
      <c r="F9" s="6">
        <f t="shared" si="1"/>
        <v>41449</v>
      </c>
    </row>
    <row r="10" spans="1:7">
      <c r="A10" s="1" t="s">
        <v>7</v>
      </c>
      <c r="B10" s="12">
        <v>-32</v>
      </c>
      <c r="C10" s="1" t="s">
        <v>17</v>
      </c>
      <c r="E10" s="5" t="s">
        <v>8</v>
      </c>
      <c r="F10" s="6">
        <f t="shared" si="1"/>
        <v>41456</v>
      </c>
    </row>
    <row r="11" spans="1:7">
      <c r="A11" s="1" t="s">
        <v>9</v>
      </c>
      <c r="B11" s="12">
        <v>-25</v>
      </c>
      <c r="C11" s="1" t="s">
        <v>17</v>
      </c>
      <c r="E11" s="5" t="s">
        <v>10</v>
      </c>
      <c r="F11" s="6">
        <f t="shared" si="1"/>
        <v>41463</v>
      </c>
    </row>
    <row r="12" spans="1:7">
      <c r="A12" s="1"/>
      <c r="B12" s="12">
        <v>-24</v>
      </c>
      <c r="C12" s="1" t="s">
        <v>19</v>
      </c>
      <c r="E12" s="5" t="s">
        <v>11</v>
      </c>
      <c r="F12" s="6">
        <f t="shared" si="1"/>
        <v>41464</v>
      </c>
    </row>
    <row r="13" spans="1:7">
      <c r="A13" s="1"/>
      <c r="B13" s="12">
        <v>-22</v>
      </c>
      <c r="C13" s="1" t="s">
        <v>20</v>
      </c>
      <c r="E13" s="5" t="s">
        <v>12</v>
      </c>
      <c r="F13" s="6">
        <f t="shared" si="1"/>
        <v>41466</v>
      </c>
    </row>
    <row r="14" spans="1:7">
      <c r="A14" s="1"/>
      <c r="B14" s="12">
        <v>-22</v>
      </c>
      <c r="C14" s="1" t="s">
        <v>20</v>
      </c>
      <c r="E14" s="5" t="s">
        <v>13</v>
      </c>
      <c r="F14" s="6">
        <f t="shared" si="1"/>
        <v>41466</v>
      </c>
    </row>
    <row r="15" spans="1:7">
      <c r="A15" s="1"/>
      <c r="B15" s="12">
        <v>-21</v>
      </c>
      <c r="C15" s="1" t="s">
        <v>21</v>
      </c>
      <c r="E15" s="5" t="s">
        <v>14</v>
      </c>
      <c r="F15" s="6">
        <f t="shared" si="1"/>
        <v>41467</v>
      </c>
    </row>
    <row r="16" spans="1:7">
      <c r="A16" s="1" t="s">
        <v>15</v>
      </c>
      <c r="B16" s="12">
        <v>-15</v>
      </c>
      <c r="C16" s="1" t="s">
        <v>20</v>
      </c>
      <c r="E16" s="5" t="s">
        <v>22</v>
      </c>
      <c r="F16" s="6">
        <f t="shared" si="1"/>
        <v>41473</v>
      </c>
    </row>
    <row r="17" spans="1:6">
      <c r="A17" s="1"/>
      <c r="B17" s="12">
        <v>-15</v>
      </c>
      <c r="C17" s="1" t="s">
        <v>20</v>
      </c>
      <c r="E17" s="5" t="s">
        <v>23</v>
      </c>
      <c r="F17" s="6">
        <f t="shared" si="1"/>
        <v>41473</v>
      </c>
    </row>
    <row r="18" spans="1:6">
      <c r="A18" s="1"/>
      <c r="B18" s="12">
        <v>-14</v>
      </c>
      <c r="C18" s="1" t="s">
        <v>21</v>
      </c>
      <c r="E18" s="5" t="s">
        <v>24</v>
      </c>
      <c r="F18" s="6">
        <f t="shared" si="1"/>
        <v>41474</v>
      </c>
    </row>
    <row r="19" spans="1:6">
      <c r="A19" s="1"/>
      <c r="B19" s="12">
        <v>-14</v>
      </c>
      <c r="C19" s="1" t="s">
        <v>21</v>
      </c>
      <c r="E19" s="5" t="s">
        <v>25</v>
      </c>
      <c r="F19" s="6">
        <f t="shared" si="1"/>
        <v>41474</v>
      </c>
    </row>
    <row r="20" spans="1:6">
      <c r="A20" s="1" t="s">
        <v>26</v>
      </c>
      <c r="B20" s="12">
        <v>-11</v>
      </c>
      <c r="C20" s="1" t="s">
        <v>17</v>
      </c>
      <c r="E20" s="5" t="s">
        <v>27</v>
      </c>
      <c r="F20" s="6">
        <f t="shared" si="1"/>
        <v>41477</v>
      </c>
    </row>
    <row r="21" spans="1:6">
      <c r="A21" s="1"/>
      <c r="B21" s="12">
        <v>-10</v>
      </c>
      <c r="C21" s="1" t="s">
        <v>19</v>
      </c>
      <c r="E21" s="5" t="s">
        <v>28</v>
      </c>
      <c r="F21" s="6">
        <f t="shared" si="1"/>
        <v>41478</v>
      </c>
    </row>
    <row r="22" spans="1:6">
      <c r="A22" s="1"/>
      <c r="B22" s="13" t="s">
        <v>53</v>
      </c>
      <c r="C22" s="1" t="s">
        <v>20</v>
      </c>
      <c r="E22" s="5" t="s">
        <v>29</v>
      </c>
      <c r="F22" s="6">
        <f>F21+2</f>
        <v>41480</v>
      </c>
    </row>
    <row r="23" spans="1:6">
      <c r="A23" s="1" t="s">
        <v>30</v>
      </c>
      <c r="B23" s="12">
        <v>-3</v>
      </c>
      <c r="C23" s="1" t="s">
        <v>19</v>
      </c>
      <c r="E23" s="5" t="s">
        <v>31</v>
      </c>
      <c r="F23" s="6">
        <f>$F$3+B23</f>
        <v>41485</v>
      </c>
    </row>
    <row r="24" spans="1:6">
      <c r="A24" s="1"/>
      <c r="B24" s="12">
        <v>-2</v>
      </c>
      <c r="C24" s="1" t="s">
        <v>32</v>
      </c>
      <c r="E24" s="5" t="s">
        <v>33</v>
      </c>
      <c r="F24" s="6">
        <f>$F$3+B24</f>
        <v>41486</v>
      </c>
    </row>
    <row r="25" spans="1:6">
      <c r="A25" s="1"/>
      <c r="B25" s="12">
        <v>-1</v>
      </c>
      <c r="C25" s="1" t="s">
        <v>20</v>
      </c>
      <c r="E25" s="5" t="s">
        <v>34</v>
      </c>
      <c r="F25" s="6">
        <f>$F$3+B25</f>
        <v>41487</v>
      </c>
    </row>
    <row r="26" spans="1:6">
      <c r="A26" s="1"/>
      <c r="B26" s="12">
        <v>-1</v>
      </c>
      <c r="C26" s="1" t="s">
        <v>20</v>
      </c>
      <c r="E26" s="5" t="s">
        <v>41</v>
      </c>
      <c r="F26" s="6">
        <f>$F$3+B26</f>
        <v>41487</v>
      </c>
    </row>
    <row r="27" spans="1:6">
      <c r="A27" s="1"/>
      <c r="B27" s="13" t="s">
        <v>36</v>
      </c>
      <c r="C27" s="1" t="s">
        <v>21</v>
      </c>
      <c r="E27" s="5" t="s">
        <v>35</v>
      </c>
      <c r="F27" s="7">
        <f>$F$3*1</f>
        <v>41488</v>
      </c>
    </row>
    <row r="28" spans="1:6">
      <c r="A28" s="1"/>
      <c r="B28" s="13" t="s">
        <v>36</v>
      </c>
      <c r="C28" s="1" t="s">
        <v>21</v>
      </c>
      <c r="E28" s="5" t="s">
        <v>37</v>
      </c>
      <c r="F28" s="7">
        <f>$F$3*1</f>
        <v>41488</v>
      </c>
    </row>
    <row r="29" spans="1:6" ht="16.5" thickBot="1">
      <c r="A29" s="1"/>
      <c r="B29" s="13" t="s">
        <v>36</v>
      </c>
      <c r="C29" s="1" t="s">
        <v>21</v>
      </c>
      <c r="E29" s="8" t="s">
        <v>38</v>
      </c>
      <c r="F29" s="9">
        <f>$F$3*1</f>
        <v>41488</v>
      </c>
    </row>
  </sheetData>
  <mergeCells count="1">
    <mergeCell ref="E1:F1"/>
  </mergeCells>
  <pageMargins left="0.75" right="0.75" top="1" bottom="1" header="0.5" footer="0.5"/>
  <pageSetup paperSize="9" orientation="portrait" horizontalDpi="4294967292" verticalDpi="4294967292" r:id="rId1"/>
  <legacyDrawing r:id="rId2"/>
  <controls>
    <control shapeId="5122" r:id="rId3" name="Date2Week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7" tint="0.79998168889431442"/>
  </sheetPr>
  <dimension ref="A1:G29"/>
  <sheetViews>
    <sheetView showGridLines="0" topLeftCell="D1" workbookViewId="0">
      <selection activeCell="C11" sqref="C11"/>
    </sheetView>
  </sheetViews>
  <sheetFormatPr defaultColWidth="11" defaultRowHeight="15.75" outlineLevelCol="1"/>
  <cols>
    <col min="1" max="1" width="18.125" style="20" hidden="1" customWidth="1" outlineLevel="1"/>
    <col min="2" max="2" width="20.125" style="20" hidden="1" customWidth="1" outlineLevel="1"/>
    <col min="3" max="3" width="11.375" style="20" hidden="1" customWidth="1" outlineLevel="1"/>
    <col min="4" max="4" width="7.875" style="20" customWidth="1" collapsed="1"/>
    <col min="5" max="5" width="58.875" style="20" customWidth="1"/>
    <col min="6" max="6" width="25.5" style="20" customWidth="1"/>
    <col min="7" max="16384" width="11" style="20"/>
  </cols>
  <sheetData>
    <row r="1" spans="1:7" ht="32.1" customHeight="1" thickBot="1">
      <c r="A1" s="3" t="s">
        <v>18</v>
      </c>
      <c r="B1" s="3" t="s">
        <v>18</v>
      </c>
      <c r="C1" s="2" t="s">
        <v>16</v>
      </c>
      <c r="E1" s="28" t="s">
        <v>50</v>
      </c>
      <c r="F1" s="29"/>
    </row>
    <row r="2" spans="1:7" ht="15.75" customHeight="1" thickBot="1">
      <c r="A2" s="1"/>
      <c r="B2" s="1"/>
      <c r="C2" s="1"/>
      <c r="E2" s="10" t="s">
        <v>56</v>
      </c>
      <c r="F2" s="14" t="s">
        <v>57</v>
      </c>
    </row>
    <row r="3" spans="1:7" ht="30.75" customHeight="1" thickBot="1">
      <c r="A3" s="1"/>
      <c r="B3" s="1"/>
      <c r="C3" s="1"/>
      <c r="E3" s="10" t="s">
        <v>0</v>
      </c>
      <c r="F3" s="15" t="s">
        <v>43</v>
      </c>
      <c r="G3" s="24"/>
    </row>
    <row r="4" spans="1:7" ht="16.5" thickBot="1">
      <c r="A4" s="1"/>
      <c r="B4" s="1"/>
      <c r="C4" s="1"/>
      <c r="E4" s="16"/>
      <c r="F4" s="17"/>
    </row>
    <row r="5" spans="1:7">
      <c r="A5" s="1"/>
      <c r="B5" s="1"/>
      <c r="C5" s="1"/>
      <c r="E5" s="4" t="s">
        <v>39</v>
      </c>
      <c r="F5" s="11" t="s">
        <v>40</v>
      </c>
    </row>
    <row r="6" spans="1:7">
      <c r="A6" s="1" t="s">
        <v>3</v>
      </c>
      <c r="B6" s="12">
        <v>-53</v>
      </c>
      <c r="C6" s="1" t="s">
        <v>17</v>
      </c>
      <c r="E6" s="5" t="s">
        <v>1</v>
      </c>
      <c r="F6" s="6">
        <f t="shared" ref="F6:F21" si="0">$F$3+B6</f>
        <v>41435</v>
      </c>
    </row>
    <row r="7" spans="1:7">
      <c r="A7" s="1"/>
      <c r="B7" s="12">
        <v>-53</v>
      </c>
      <c r="C7" s="1" t="s">
        <v>17</v>
      </c>
      <c r="E7" s="5" t="s">
        <v>2</v>
      </c>
      <c r="F7" s="6">
        <f t="shared" si="0"/>
        <v>41435</v>
      </c>
    </row>
    <row r="8" spans="1:7">
      <c r="A8" s="1" t="s">
        <v>4</v>
      </c>
      <c r="B8" s="12">
        <v>-46</v>
      </c>
      <c r="C8" s="1" t="s">
        <v>17</v>
      </c>
      <c r="E8" s="5" t="s">
        <v>5</v>
      </c>
      <c r="F8" s="6">
        <f t="shared" si="0"/>
        <v>41442</v>
      </c>
    </row>
    <row r="9" spans="1:7">
      <c r="A9" s="1"/>
      <c r="B9" s="12">
        <v>-46</v>
      </c>
      <c r="C9" s="1" t="s">
        <v>17</v>
      </c>
      <c r="E9" s="5" t="s">
        <v>6</v>
      </c>
      <c r="F9" s="6">
        <f t="shared" si="0"/>
        <v>41442</v>
      </c>
    </row>
    <row r="10" spans="1:7">
      <c r="A10" s="1" t="s">
        <v>7</v>
      </c>
      <c r="B10" s="12">
        <v>-39</v>
      </c>
      <c r="C10" s="1" t="s">
        <v>17</v>
      </c>
      <c r="E10" s="5" t="s">
        <v>8</v>
      </c>
      <c r="F10" s="6">
        <f t="shared" si="0"/>
        <v>41449</v>
      </c>
    </row>
    <row r="11" spans="1:7">
      <c r="A11" s="1" t="s">
        <v>9</v>
      </c>
      <c r="B11" s="12">
        <v>-32</v>
      </c>
      <c r="C11" s="1" t="s">
        <v>17</v>
      </c>
      <c r="E11" s="5" t="s">
        <v>10</v>
      </c>
      <c r="F11" s="6">
        <f t="shared" si="0"/>
        <v>41456</v>
      </c>
    </row>
    <row r="12" spans="1:7">
      <c r="A12" s="1"/>
      <c r="B12" s="12">
        <v>-31</v>
      </c>
      <c r="C12" s="1" t="s">
        <v>19</v>
      </c>
      <c r="E12" s="5" t="s">
        <v>11</v>
      </c>
      <c r="F12" s="6">
        <f t="shared" si="0"/>
        <v>41457</v>
      </c>
    </row>
    <row r="13" spans="1:7">
      <c r="A13" s="1"/>
      <c r="B13" s="12">
        <v>-29</v>
      </c>
      <c r="C13" s="1" t="s">
        <v>20</v>
      </c>
      <c r="E13" s="5" t="s">
        <v>12</v>
      </c>
      <c r="F13" s="6">
        <f t="shared" si="0"/>
        <v>41459</v>
      </c>
    </row>
    <row r="14" spans="1:7">
      <c r="A14" s="1"/>
      <c r="B14" s="12">
        <v>-29</v>
      </c>
      <c r="C14" s="1" t="s">
        <v>20</v>
      </c>
      <c r="E14" s="5" t="s">
        <v>13</v>
      </c>
      <c r="F14" s="6">
        <f t="shared" si="0"/>
        <v>41459</v>
      </c>
    </row>
    <row r="15" spans="1:7">
      <c r="A15" s="1"/>
      <c r="B15" s="12">
        <v>-28</v>
      </c>
      <c r="C15" s="1" t="s">
        <v>21</v>
      </c>
      <c r="E15" s="5" t="s">
        <v>14</v>
      </c>
      <c r="F15" s="6">
        <f t="shared" si="0"/>
        <v>41460</v>
      </c>
    </row>
    <row r="16" spans="1:7">
      <c r="A16" s="1" t="s">
        <v>15</v>
      </c>
      <c r="B16" s="12">
        <v>-22</v>
      </c>
      <c r="C16" s="1" t="s">
        <v>20</v>
      </c>
      <c r="E16" s="5" t="s">
        <v>22</v>
      </c>
      <c r="F16" s="6">
        <f t="shared" si="0"/>
        <v>41466</v>
      </c>
    </row>
    <row r="17" spans="1:6">
      <c r="A17" s="1"/>
      <c r="B17" s="12">
        <v>-22</v>
      </c>
      <c r="C17" s="1" t="s">
        <v>20</v>
      </c>
      <c r="E17" s="5" t="s">
        <v>23</v>
      </c>
      <c r="F17" s="6">
        <f t="shared" si="0"/>
        <v>41466</v>
      </c>
    </row>
    <row r="18" spans="1:6">
      <c r="A18" s="1"/>
      <c r="B18" s="12">
        <v>-21</v>
      </c>
      <c r="C18" s="1" t="s">
        <v>21</v>
      </c>
      <c r="E18" s="5" t="s">
        <v>24</v>
      </c>
      <c r="F18" s="6">
        <f t="shared" si="0"/>
        <v>41467</v>
      </c>
    </row>
    <row r="19" spans="1:6">
      <c r="A19" s="1"/>
      <c r="B19" s="12">
        <v>-21</v>
      </c>
      <c r="C19" s="1" t="s">
        <v>21</v>
      </c>
      <c r="E19" s="5" t="s">
        <v>25</v>
      </c>
      <c r="F19" s="6">
        <f t="shared" si="0"/>
        <v>41467</v>
      </c>
    </row>
    <row r="20" spans="1:6">
      <c r="A20" s="1" t="s">
        <v>26</v>
      </c>
      <c r="B20" s="12">
        <v>-18</v>
      </c>
      <c r="C20" s="1" t="s">
        <v>17</v>
      </c>
      <c r="E20" s="5" t="s">
        <v>27</v>
      </c>
      <c r="F20" s="6">
        <f t="shared" si="0"/>
        <v>41470</v>
      </c>
    </row>
    <row r="21" spans="1:6">
      <c r="A21" s="1"/>
      <c r="B21" s="12">
        <v>-17</v>
      </c>
      <c r="C21" s="1" t="s">
        <v>19</v>
      </c>
      <c r="E21" s="5" t="s">
        <v>28</v>
      </c>
      <c r="F21" s="6">
        <f t="shared" si="0"/>
        <v>41471</v>
      </c>
    </row>
    <row r="22" spans="1:6">
      <c r="A22" s="1"/>
      <c r="B22" s="13" t="s">
        <v>54</v>
      </c>
      <c r="C22" s="1" t="s">
        <v>20</v>
      </c>
      <c r="E22" s="5" t="s">
        <v>29</v>
      </c>
      <c r="F22" s="6">
        <f>F21+2</f>
        <v>41473</v>
      </c>
    </row>
    <row r="23" spans="1:6">
      <c r="A23" s="1" t="s">
        <v>30</v>
      </c>
      <c r="B23" s="12">
        <v>-8</v>
      </c>
      <c r="C23" s="1" t="s">
        <v>20</v>
      </c>
      <c r="E23" s="5" t="s">
        <v>33</v>
      </c>
      <c r="F23" s="6">
        <f>$F$3+B23</f>
        <v>41480</v>
      </c>
    </row>
    <row r="24" spans="1:6">
      <c r="A24" s="1" t="s">
        <v>42</v>
      </c>
      <c r="B24" s="12">
        <v>-3</v>
      </c>
      <c r="C24" s="1" t="s">
        <v>19</v>
      </c>
      <c r="E24" s="5" t="s">
        <v>31</v>
      </c>
      <c r="F24" s="6">
        <f>$F$3+B24</f>
        <v>41485</v>
      </c>
    </row>
    <row r="25" spans="1:6">
      <c r="A25" s="1"/>
      <c r="B25" s="12">
        <v>-1</v>
      </c>
      <c r="C25" s="1" t="s">
        <v>20</v>
      </c>
      <c r="E25" s="5" t="s">
        <v>34</v>
      </c>
      <c r="F25" s="6">
        <f>$F$3+B25</f>
        <v>41487</v>
      </c>
    </row>
    <row r="26" spans="1:6">
      <c r="A26" s="1"/>
      <c r="B26" s="12">
        <v>-1</v>
      </c>
      <c r="C26" s="1" t="s">
        <v>20</v>
      </c>
      <c r="E26" s="5" t="s">
        <v>41</v>
      </c>
      <c r="F26" s="6">
        <f>$F$3+B26</f>
        <v>41487</v>
      </c>
    </row>
    <row r="27" spans="1:6">
      <c r="A27" s="1"/>
      <c r="B27" s="13" t="s">
        <v>36</v>
      </c>
      <c r="C27" s="1" t="s">
        <v>21</v>
      </c>
      <c r="E27" s="5" t="s">
        <v>35</v>
      </c>
      <c r="F27" s="7">
        <f>$F$3*1</f>
        <v>41488</v>
      </c>
    </row>
    <row r="28" spans="1:6">
      <c r="A28" s="1"/>
      <c r="B28" s="13" t="s">
        <v>36</v>
      </c>
      <c r="C28" s="1" t="s">
        <v>21</v>
      </c>
      <c r="E28" s="5" t="s">
        <v>37</v>
      </c>
      <c r="F28" s="7">
        <f>$F$3*1</f>
        <v>41488</v>
      </c>
    </row>
    <row r="29" spans="1:6" ht="16.5" thickBot="1">
      <c r="A29" s="1"/>
      <c r="B29" s="13" t="s">
        <v>36</v>
      </c>
      <c r="C29" s="1" t="s">
        <v>21</v>
      </c>
      <c r="E29" s="8" t="s">
        <v>38</v>
      </c>
      <c r="F29" s="9">
        <f>$F$3*1</f>
        <v>41488</v>
      </c>
    </row>
  </sheetData>
  <mergeCells count="1">
    <mergeCell ref="E1:F1"/>
  </mergeCells>
  <pageMargins left="0.75" right="0.75" top="1" bottom="1" header="0.5" footer="0.5"/>
  <pageSetup paperSize="9" orientation="portrait" horizontalDpi="4294967292" verticalDpi="4294967292" r:id="rId1"/>
  <legacyDrawing r:id="rId2"/>
  <controls>
    <control shapeId="6146" r:id="rId3" name="Date3Week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6" tint="0.79998168889431442"/>
  </sheetPr>
  <dimension ref="A1:G30"/>
  <sheetViews>
    <sheetView showGridLines="0" topLeftCell="D1" workbookViewId="0">
      <selection activeCell="D31" sqref="D31"/>
    </sheetView>
  </sheetViews>
  <sheetFormatPr defaultColWidth="11" defaultRowHeight="15.75" outlineLevelCol="1"/>
  <cols>
    <col min="1" max="1" width="18.125" style="18" hidden="1" customWidth="1" outlineLevel="1"/>
    <col min="2" max="2" width="20.125" style="18" hidden="1" customWidth="1" outlineLevel="1"/>
    <col min="3" max="3" width="11.375" style="18" hidden="1" customWidth="1" outlineLevel="1"/>
    <col min="4" max="4" width="7.875" style="18" customWidth="1" collapsed="1"/>
    <col min="5" max="5" width="58.875" style="18" customWidth="1"/>
    <col min="6" max="6" width="25.5" style="18" customWidth="1"/>
    <col min="7" max="16384" width="11" style="18"/>
  </cols>
  <sheetData>
    <row r="1" spans="1:7" ht="32.1" customHeight="1" thickBot="1">
      <c r="A1" s="3" t="s">
        <v>18</v>
      </c>
      <c r="B1" s="3" t="s">
        <v>18</v>
      </c>
      <c r="C1" s="2" t="s">
        <v>16</v>
      </c>
      <c r="E1" s="30" t="s">
        <v>51</v>
      </c>
      <c r="F1" s="31"/>
    </row>
    <row r="2" spans="1:7" ht="15.75" customHeight="1" thickBot="1">
      <c r="A2" s="1"/>
      <c r="B2" s="1"/>
      <c r="C2" s="1"/>
      <c r="E2" s="10" t="s">
        <v>56</v>
      </c>
      <c r="F2" s="14" t="s">
        <v>57</v>
      </c>
    </row>
    <row r="3" spans="1:7" ht="30.75" customHeight="1" thickBot="1">
      <c r="A3" s="1"/>
      <c r="B3" s="1"/>
      <c r="C3" s="1"/>
      <c r="E3" s="10" t="s">
        <v>0</v>
      </c>
      <c r="F3" s="15" t="s">
        <v>43</v>
      </c>
      <c r="G3" s="19"/>
    </row>
    <row r="4" spans="1:7" ht="16.5" thickBot="1">
      <c r="A4" s="1"/>
      <c r="B4" s="1"/>
      <c r="C4" s="1"/>
      <c r="E4" s="16"/>
      <c r="F4" s="17"/>
    </row>
    <row r="5" spans="1:7">
      <c r="A5" s="1"/>
      <c r="B5" s="1"/>
      <c r="C5" s="1"/>
      <c r="E5" s="4" t="s">
        <v>39</v>
      </c>
      <c r="F5" s="11" t="s">
        <v>40</v>
      </c>
    </row>
    <row r="6" spans="1:7">
      <c r="A6" s="1" t="s">
        <v>3</v>
      </c>
      <c r="B6" s="12">
        <v>-60</v>
      </c>
      <c r="C6" s="1" t="s">
        <v>17</v>
      </c>
      <c r="E6" s="5" t="s">
        <v>1</v>
      </c>
      <c r="F6" s="6">
        <f t="shared" ref="F6:F21" si="0">$F$3+B6</f>
        <v>41428</v>
      </c>
    </row>
    <row r="7" spans="1:7">
      <c r="A7" s="1"/>
      <c r="B7" s="12">
        <v>-60</v>
      </c>
      <c r="C7" s="1" t="s">
        <v>17</v>
      </c>
      <c r="E7" s="5" t="s">
        <v>2</v>
      </c>
      <c r="F7" s="6">
        <f t="shared" si="0"/>
        <v>41428</v>
      </c>
    </row>
    <row r="8" spans="1:7">
      <c r="A8" s="1" t="s">
        <v>4</v>
      </c>
      <c r="B8" s="12">
        <v>-53</v>
      </c>
      <c r="C8" s="1" t="s">
        <v>17</v>
      </c>
      <c r="E8" s="5" t="s">
        <v>5</v>
      </c>
      <c r="F8" s="6">
        <f t="shared" si="0"/>
        <v>41435</v>
      </c>
    </row>
    <row r="9" spans="1:7">
      <c r="A9" s="1"/>
      <c r="B9" s="12">
        <v>-53</v>
      </c>
      <c r="C9" s="1" t="s">
        <v>17</v>
      </c>
      <c r="E9" s="5" t="s">
        <v>6</v>
      </c>
      <c r="F9" s="6">
        <f t="shared" si="0"/>
        <v>41435</v>
      </c>
    </row>
    <row r="10" spans="1:7">
      <c r="A10" s="1" t="s">
        <v>7</v>
      </c>
      <c r="B10" s="12">
        <v>-46</v>
      </c>
      <c r="C10" s="1" t="s">
        <v>17</v>
      </c>
      <c r="E10" s="5" t="s">
        <v>8</v>
      </c>
      <c r="F10" s="6">
        <f t="shared" si="0"/>
        <v>41442</v>
      </c>
    </row>
    <row r="11" spans="1:7">
      <c r="A11" s="1" t="s">
        <v>9</v>
      </c>
      <c r="B11" s="12">
        <v>-39</v>
      </c>
      <c r="C11" s="1" t="s">
        <v>17</v>
      </c>
      <c r="E11" s="5" t="s">
        <v>10</v>
      </c>
      <c r="F11" s="6">
        <f t="shared" si="0"/>
        <v>41449</v>
      </c>
    </row>
    <row r="12" spans="1:7">
      <c r="A12" s="1"/>
      <c r="B12" s="12">
        <v>-38</v>
      </c>
      <c r="C12" s="1" t="s">
        <v>19</v>
      </c>
      <c r="E12" s="5" t="s">
        <v>11</v>
      </c>
      <c r="F12" s="6">
        <f t="shared" si="0"/>
        <v>41450</v>
      </c>
    </row>
    <row r="13" spans="1:7">
      <c r="A13" s="1"/>
      <c r="B13" s="12">
        <v>-36</v>
      </c>
      <c r="C13" s="1" t="s">
        <v>20</v>
      </c>
      <c r="E13" s="5" t="s">
        <v>12</v>
      </c>
      <c r="F13" s="6">
        <f t="shared" si="0"/>
        <v>41452</v>
      </c>
    </row>
    <row r="14" spans="1:7">
      <c r="A14" s="1"/>
      <c r="B14" s="12">
        <v>-36</v>
      </c>
      <c r="C14" s="1" t="s">
        <v>20</v>
      </c>
      <c r="E14" s="5" t="s">
        <v>13</v>
      </c>
      <c r="F14" s="6">
        <f t="shared" si="0"/>
        <v>41452</v>
      </c>
    </row>
    <row r="15" spans="1:7">
      <c r="A15" s="1"/>
      <c r="B15" s="12">
        <v>-35</v>
      </c>
      <c r="C15" s="1" t="s">
        <v>21</v>
      </c>
      <c r="E15" s="5" t="s">
        <v>14</v>
      </c>
      <c r="F15" s="6">
        <f t="shared" si="0"/>
        <v>41453</v>
      </c>
    </row>
    <row r="16" spans="1:7">
      <c r="A16" s="1" t="s">
        <v>15</v>
      </c>
      <c r="B16" s="12">
        <v>-29</v>
      </c>
      <c r="C16" s="1" t="s">
        <v>20</v>
      </c>
      <c r="E16" s="5" t="s">
        <v>22</v>
      </c>
      <c r="F16" s="6">
        <f t="shared" si="0"/>
        <v>41459</v>
      </c>
    </row>
    <row r="17" spans="1:6">
      <c r="A17" s="1"/>
      <c r="B17" s="12">
        <v>-29</v>
      </c>
      <c r="C17" s="1" t="s">
        <v>20</v>
      </c>
      <c r="E17" s="5" t="s">
        <v>23</v>
      </c>
      <c r="F17" s="6">
        <f t="shared" si="0"/>
        <v>41459</v>
      </c>
    </row>
    <row r="18" spans="1:6">
      <c r="A18" s="1"/>
      <c r="B18" s="12">
        <v>-28</v>
      </c>
      <c r="C18" s="1" t="s">
        <v>21</v>
      </c>
      <c r="E18" s="5" t="s">
        <v>24</v>
      </c>
      <c r="F18" s="6">
        <f t="shared" si="0"/>
        <v>41460</v>
      </c>
    </row>
    <row r="19" spans="1:6">
      <c r="A19" s="1"/>
      <c r="B19" s="12">
        <v>-28</v>
      </c>
      <c r="C19" s="1" t="s">
        <v>21</v>
      </c>
      <c r="E19" s="5" t="s">
        <v>25</v>
      </c>
      <c r="F19" s="6">
        <f t="shared" si="0"/>
        <v>41460</v>
      </c>
    </row>
    <row r="20" spans="1:6">
      <c r="A20" s="1" t="s">
        <v>26</v>
      </c>
      <c r="B20" s="12">
        <v>-25</v>
      </c>
      <c r="C20" s="1" t="s">
        <v>17</v>
      </c>
      <c r="E20" s="5" t="s">
        <v>27</v>
      </c>
      <c r="F20" s="6">
        <f t="shared" si="0"/>
        <v>41463</v>
      </c>
    </row>
    <row r="21" spans="1:6">
      <c r="A21" s="1"/>
      <c r="B21" s="12">
        <v>-24</v>
      </c>
      <c r="C21" s="1" t="s">
        <v>19</v>
      </c>
      <c r="E21" s="5" t="s">
        <v>28</v>
      </c>
      <c r="F21" s="6">
        <f t="shared" si="0"/>
        <v>41464</v>
      </c>
    </row>
    <row r="22" spans="1:6">
      <c r="A22" s="1"/>
      <c r="B22" s="13" t="s">
        <v>46</v>
      </c>
      <c r="C22" s="1" t="s">
        <v>20</v>
      </c>
      <c r="E22" s="5" t="s">
        <v>29</v>
      </c>
      <c r="F22" s="6">
        <f>F21+2</f>
        <v>41466</v>
      </c>
    </row>
    <row r="23" spans="1:6">
      <c r="A23" s="1" t="s">
        <v>30</v>
      </c>
      <c r="B23" s="12">
        <v>-15</v>
      </c>
      <c r="C23" s="1" t="s">
        <v>20</v>
      </c>
      <c r="E23" s="5" t="s">
        <v>33</v>
      </c>
      <c r="F23" s="6">
        <f>$F$3+B23</f>
        <v>41473</v>
      </c>
    </row>
    <row r="24" spans="1:6">
      <c r="A24" s="1" t="s">
        <v>42</v>
      </c>
      <c r="B24" s="12">
        <v>-8</v>
      </c>
      <c r="C24" s="1" t="s">
        <v>20</v>
      </c>
      <c r="E24" s="5" t="s">
        <v>34</v>
      </c>
      <c r="F24" s="6">
        <f>$F$3+B24</f>
        <v>41480</v>
      </c>
    </row>
    <row r="25" spans="1:6">
      <c r="A25" s="1" t="s">
        <v>44</v>
      </c>
      <c r="B25" s="12">
        <v>-3</v>
      </c>
      <c r="C25" s="1" t="s">
        <v>19</v>
      </c>
      <c r="E25" s="5" t="s">
        <v>31</v>
      </c>
      <c r="F25" s="6">
        <f>$F$3+B25</f>
        <v>41485</v>
      </c>
    </row>
    <row r="26" spans="1:6">
      <c r="A26" s="1"/>
      <c r="B26" s="12">
        <v>-1</v>
      </c>
      <c r="C26" s="1" t="s">
        <v>20</v>
      </c>
      <c r="E26" s="5" t="s">
        <v>45</v>
      </c>
      <c r="F26" s="6">
        <f>$F$3+B26</f>
        <v>41487</v>
      </c>
    </row>
    <row r="27" spans="1:6">
      <c r="A27" s="1"/>
      <c r="B27" s="12">
        <v>-1</v>
      </c>
      <c r="C27" s="1" t="s">
        <v>20</v>
      </c>
      <c r="E27" s="5" t="s">
        <v>41</v>
      </c>
      <c r="F27" s="6">
        <f>$F$3+B27</f>
        <v>41487</v>
      </c>
    </row>
    <row r="28" spans="1:6">
      <c r="A28" s="1"/>
      <c r="B28" s="13" t="s">
        <v>36</v>
      </c>
      <c r="C28" s="1" t="s">
        <v>21</v>
      </c>
      <c r="E28" s="5" t="s">
        <v>35</v>
      </c>
      <c r="F28" s="7">
        <f>$F$3*1</f>
        <v>41488</v>
      </c>
    </row>
    <row r="29" spans="1:6">
      <c r="A29" s="1"/>
      <c r="B29" s="13" t="s">
        <v>36</v>
      </c>
      <c r="C29" s="1" t="s">
        <v>21</v>
      </c>
      <c r="E29" s="5" t="s">
        <v>37</v>
      </c>
      <c r="F29" s="7">
        <f>$F$3*1</f>
        <v>41488</v>
      </c>
    </row>
    <row r="30" spans="1:6" ht="16.5" thickBot="1">
      <c r="A30" s="1"/>
      <c r="B30" s="13" t="s">
        <v>36</v>
      </c>
      <c r="C30" s="1" t="s">
        <v>21</v>
      </c>
      <c r="E30" s="8" t="s">
        <v>38</v>
      </c>
      <c r="F30" s="9">
        <f>$F$3*1</f>
        <v>41488</v>
      </c>
    </row>
  </sheetData>
  <mergeCells count="1">
    <mergeCell ref="E1:F1"/>
  </mergeCells>
  <pageMargins left="0.75" right="0.75" top="1" bottom="1" header="0.5" footer="0.5"/>
  <pageSetup paperSize="9" orientation="portrait" horizontalDpi="4294967292" verticalDpi="4294967292" r:id="rId1"/>
  <legacyDrawing r:id="rId2"/>
  <controls>
    <control shapeId="7169" r:id="rId3" name="Date4Week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4" tint="0.59999389629810485"/>
  </sheetPr>
  <dimension ref="A1:H31"/>
  <sheetViews>
    <sheetView showGridLines="0" topLeftCell="D1" workbookViewId="0">
      <selection activeCell="B5" sqref="B5"/>
    </sheetView>
  </sheetViews>
  <sheetFormatPr defaultColWidth="11" defaultRowHeight="15.75" outlineLevelCol="1"/>
  <cols>
    <col min="1" max="1" width="18.125" style="21" hidden="1" customWidth="1" outlineLevel="1"/>
    <col min="2" max="2" width="20.125" style="21" hidden="1" customWidth="1" outlineLevel="1"/>
    <col min="3" max="3" width="11.375" style="21" hidden="1" customWidth="1" outlineLevel="1"/>
    <col min="4" max="4" width="7.875" style="21" customWidth="1" collapsed="1"/>
    <col min="5" max="5" width="58.875" style="21" customWidth="1"/>
    <col min="6" max="6" width="25.5" style="21" customWidth="1"/>
    <col min="7" max="16384" width="11" style="21"/>
  </cols>
  <sheetData>
    <row r="1" spans="1:8" ht="32.1" customHeight="1" thickBot="1">
      <c r="A1" s="3" t="s">
        <v>18</v>
      </c>
      <c r="B1" s="3" t="s">
        <v>18</v>
      </c>
      <c r="C1" s="2" t="s">
        <v>16</v>
      </c>
      <c r="E1" s="32" t="s">
        <v>52</v>
      </c>
      <c r="F1" s="33"/>
    </row>
    <row r="2" spans="1:8" ht="15.75" customHeight="1" thickBot="1">
      <c r="A2" s="1"/>
      <c r="B2" s="1"/>
      <c r="C2" s="1"/>
      <c r="E2" s="10" t="s">
        <v>56</v>
      </c>
      <c r="F2" s="14" t="s">
        <v>57</v>
      </c>
    </row>
    <row r="3" spans="1:8" ht="30.75" customHeight="1" thickBot="1">
      <c r="A3" s="1"/>
      <c r="B3" s="1"/>
      <c r="C3" s="1"/>
      <c r="E3" s="10" t="s">
        <v>0</v>
      </c>
      <c r="F3" s="15" t="s">
        <v>43</v>
      </c>
      <c r="G3" s="25"/>
    </row>
    <row r="4" spans="1:8" ht="16.5" thickBot="1">
      <c r="A4" s="1"/>
      <c r="B4" s="1"/>
      <c r="C4" s="1"/>
      <c r="E4" s="16"/>
      <c r="F4" s="17"/>
    </row>
    <row r="5" spans="1:8">
      <c r="A5" s="1"/>
      <c r="B5" s="1"/>
      <c r="C5" s="1"/>
      <c r="E5" s="4" t="s">
        <v>39</v>
      </c>
      <c r="F5" s="11" t="s">
        <v>40</v>
      </c>
    </row>
    <row r="6" spans="1:8">
      <c r="A6" s="1" t="s">
        <v>3</v>
      </c>
      <c r="B6" s="12">
        <v>-67</v>
      </c>
      <c r="C6" s="1" t="s">
        <v>17</v>
      </c>
      <c r="E6" s="5" t="s">
        <v>1</v>
      </c>
      <c r="F6" s="6">
        <f t="shared" ref="F6:F21" si="0">$F$3+B6</f>
        <v>41421</v>
      </c>
    </row>
    <row r="7" spans="1:8">
      <c r="A7" s="1"/>
      <c r="B7" s="12">
        <v>-67</v>
      </c>
      <c r="C7" s="1" t="s">
        <v>17</v>
      </c>
      <c r="E7" s="5" t="s">
        <v>2</v>
      </c>
      <c r="F7" s="6">
        <f t="shared" si="0"/>
        <v>41421</v>
      </c>
    </row>
    <row r="8" spans="1:8">
      <c r="A8" s="1" t="s">
        <v>4</v>
      </c>
      <c r="B8" s="12">
        <v>-60</v>
      </c>
      <c r="C8" s="1" t="s">
        <v>17</v>
      </c>
      <c r="E8" s="5" t="s">
        <v>5</v>
      </c>
      <c r="F8" s="6">
        <f t="shared" si="0"/>
        <v>41428</v>
      </c>
    </row>
    <row r="9" spans="1:8">
      <c r="A9" s="1"/>
      <c r="B9" s="12">
        <v>-60</v>
      </c>
      <c r="C9" s="1" t="s">
        <v>17</v>
      </c>
      <c r="E9" s="5" t="s">
        <v>6</v>
      </c>
      <c r="F9" s="6">
        <f t="shared" si="0"/>
        <v>41428</v>
      </c>
    </row>
    <row r="10" spans="1:8">
      <c r="A10" s="1" t="s">
        <v>7</v>
      </c>
      <c r="B10" s="12">
        <v>-53</v>
      </c>
      <c r="C10" s="1" t="s">
        <v>17</v>
      </c>
      <c r="E10" s="5" t="s">
        <v>8</v>
      </c>
      <c r="F10" s="6">
        <f t="shared" si="0"/>
        <v>41435</v>
      </c>
    </row>
    <row r="11" spans="1:8">
      <c r="A11" s="1" t="s">
        <v>9</v>
      </c>
      <c r="B11" s="12">
        <v>-46</v>
      </c>
      <c r="C11" s="1" t="s">
        <v>17</v>
      </c>
      <c r="E11" s="5" t="s">
        <v>10</v>
      </c>
      <c r="F11" s="6">
        <f t="shared" si="0"/>
        <v>41442</v>
      </c>
    </row>
    <row r="12" spans="1:8">
      <c r="A12" s="1"/>
      <c r="B12" s="12">
        <v>-45</v>
      </c>
      <c r="C12" s="1" t="s">
        <v>19</v>
      </c>
      <c r="E12" s="5" t="s">
        <v>11</v>
      </c>
      <c r="F12" s="6">
        <f t="shared" si="0"/>
        <v>41443</v>
      </c>
    </row>
    <row r="13" spans="1:8">
      <c r="A13" s="1"/>
      <c r="B13" s="12">
        <v>-43</v>
      </c>
      <c r="C13" s="1" t="s">
        <v>20</v>
      </c>
      <c r="E13" s="5" t="s">
        <v>12</v>
      </c>
      <c r="F13" s="6">
        <f t="shared" si="0"/>
        <v>41445</v>
      </c>
    </row>
    <row r="14" spans="1:8">
      <c r="A14" s="1"/>
      <c r="B14" s="12">
        <v>-43</v>
      </c>
      <c r="C14" s="1" t="s">
        <v>20</v>
      </c>
      <c r="E14" s="5" t="s">
        <v>13</v>
      </c>
      <c r="F14" s="6">
        <f t="shared" si="0"/>
        <v>41445</v>
      </c>
    </row>
    <row r="15" spans="1:8">
      <c r="A15" s="1"/>
      <c r="B15" s="12">
        <v>-42</v>
      </c>
      <c r="C15" s="1" t="s">
        <v>21</v>
      </c>
      <c r="E15" s="5" t="s">
        <v>14</v>
      </c>
      <c r="F15" s="6">
        <f t="shared" si="0"/>
        <v>41446</v>
      </c>
      <c r="H15" s="21" t="s">
        <v>59</v>
      </c>
    </row>
    <row r="16" spans="1:8">
      <c r="A16" s="1" t="s">
        <v>15</v>
      </c>
      <c r="B16" s="12">
        <v>-36</v>
      </c>
      <c r="C16" s="1" t="s">
        <v>20</v>
      </c>
      <c r="E16" s="5" t="s">
        <v>22</v>
      </c>
      <c r="F16" s="6">
        <f t="shared" si="0"/>
        <v>41452</v>
      </c>
    </row>
    <row r="17" spans="1:6">
      <c r="A17" s="1"/>
      <c r="B17" s="12">
        <v>-36</v>
      </c>
      <c r="C17" s="1" t="s">
        <v>20</v>
      </c>
      <c r="E17" s="5" t="s">
        <v>23</v>
      </c>
      <c r="F17" s="6">
        <f t="shared" si="0"/>
        <v>41452</v>
      </c>
    </row>
    <row r="18" spans="1:6">
      <c r="A18" s="1"/>
      <c r="B18" s="12">
        <v>-35</v>
      </c>
      <c r="C18" s="1" t="s">
        <v>21</v>
      </c>
      <c r="E18" s="5" t="s">
        <v>24</v>
      </c>
      <c r="F18" s="6">
        <f t="shared" si="0"/>
        <v>41453</v>
      </c>
    </row>
    <row r="19" spans="1:6">
      <c r="A19" s="1"/>
      <c r="B19" s="12">
        <v>-35</v>
      </c>
      <c r="C19" s="1" t="s">
        <v>21</v>
      </c>
      <c r="E19" s="5" t="s">
        <v>25</v>
      </c>
      <c r="F19" s="6">
        <f t="shared" si="0"/>
        <v>41453</v>
      </c>
    </row>
    <row r="20" spans="1:6">
      <c r="A20" s="1" t="s">
        <v>26</v>
      </c>
      <c r="B20" s="12">
        <v>-32</v>
      </c>
      <c r="C20" s="1" t="s">
        <v>17</v>
      </c>
      <c r="E20" s="5" t="s">
        <v>27</v>
      </c>
      <c r="F20" s="6">
        <f t="shared" si="0"/>
        <v>41456</v>
      </c>
    </row>
    <row r="21" spans="1:6">
      <c r="A21" s="1"/>
      <c r="B21" s="12">
        <v>-31</v>
      </c>
      <c r="C21" s="1" t="s">
        <v>19</v>
      </c>
      <c r="E21" s="5" t="s">
        <v>28</v>
      </c>
      <c r="F21" s="6">
        <f t="shared" si="0"/>
        <v>41457</v>
      </c>
    </row>
    <row r="22" spans="1:6">
      <c r="A22" s="1"/>
      <c r="B22" s="13" t="s">
        <v>55</v>
      </c>
      <c r="C22" s="1" t="s">
        <v>20</v>
      </c>
      <c r="E22" s="5" t="s">
        <v>29</v>
      </c>
      <c r="F22" s="6">
        <f>F21+2</f>
        <v>41459</v>
      </c>
    </row>
    <row r="23" spans="1:6">
      <c r="A23" s="1" t="s">
        <v>30</v>
      </c>
      <c r="B23" s="12">
        <v>-22</v>
      </c>
      <c r="C23" s="1" t="s">
        <v>20</v>
      </c>
      <c r="E23" s="5" t="s">
        <v>33</v>
      </c>
      <c r="F23" s="6">
        <f t="shared" ref="F23:F28" si="1">$F$3+B23</f>
        <v>41466</v>
      </c>
    </row>
    <row r="24" spans="1:6">
      <c r="A24" s="1" t="s">
        <v>42</v>
      </c>
      <c r="B24" s="12">
        <v>-15</v>
      </c>
      <c r="C24" s="1" t="s">
        <v>20</v>
      </c>
      <c r="E24" s="5" t="s">
        <v>34</v>
      </c>
      <c r="F24" s="6">
        <f t="shared" si="1"/>
        <v>41473</v>
      </c>
    </row>
    <row r="25" spans="1:6">
      <c r="A25" s="1" t="s">
        <v>44</v>
      </c>
      <c r="B25" s="12">
        <v>-8</v>
      </c>
      <c r="C25" s="1" t="s">
        <v>20</v>
      </c>
      <c r="E25" s="5" t="s">
        <v>45</v>
      </c>
      <c r="F25" s="6">
        <f t="shared" si="1"/>
        <v>41480</v>
      </c>
    </row>
    <row r="26" spans="1:6">
      <c r="A26" s="1" t="s">
        <v>48</v>
      </c>
      <c r="B26" s="12">
        <v>-3</v>
      </c>
      <c r="C26" s="1" t="s">
        <v>19</v>
      </c>
      <c r="E26" s="5" t="s">
        <v>31</v>
      </c>
      <c r="F26" s="6">
        <f t="shared" si="1"/>
        <v>41485</v>
      </c>
    </row>
    <row r="27" spans="1:6">
      <c r="A27" s="1"/>
      <c r="B27" s="12">
        <v>-1</v>
      </c>
      <c r="C27" s="1" t="s">
        <v>20</v>
      </c>
      <c r="E27" s="5" t="s">
        <v>47</v>
      </c>
      <c r="F27" s="6">
        <f t="shared" si="1"/>
        <v>41487</v>
      </c>
    </row>
    <row r="28" spans="1:6">
      <c r="A28" s="1"/>
      <c r="B28" s="12">
        <v>-1</v>
      </c>
      <c r="C28" s="1" t="s">
        <v>20</v>
      </c>
      <c r="E28" s="5" t="s">
        <v>41</v>
      </c>
      <c r="F28" s="6">
        <f t="shared" si="1"/>
        <v>41487</v>
      </c>
    </row>
    <row r="29" spans="1:6">
      <c r="A29" s="1"/>
      <c r="B29" s="13" t="s">
        <v>36</v>
      </c>
      <c r="C29" s="1" t="s">
        <v>21</v>
      </c>
      <c r="E29" s="5" t="s">
        <v>35</v>
      </c>
      <c r="F29" s="7">
        <f>$F$3*1</f>
        <v>41488</v>
      </c>
    </row>
    <row r="30" spans="1:6">
      <c r="A30" s="1"/>
      <c r="B30" s="13" t="s">
        <v>36</v>
      </c>
      <c r="C30" s="1" t="s">
        <v>21</v>
      </c>
      <c r="E30" s="5" t="s">
        <v>37</v>
      </c>
      <c r="F30" s="7">
        <f>$F$3*1</f>
        <v>41488</v>
      </c>
    </row>
    <row r="31" spans="1:6" ht="16.5" thickBot="1">
      <c r="A31" s="1"/>
      <c r="B31" s="13" t="s">
        <v>36</v>
      </c>
      <c r="C31" s="1" t="s">
        <v>21</v>
      </c>
      <c r="E31" s="8" t="s">
        <v>38</v>
      </c>
      <c r="F31" s="9">
        <f>$F$3*1</f>
        <v>41488</v>
      </c>
    </row>
  </sheetData>
  <mergeCells count="1">
    <mergeCell ref="E1:F1"/>
  </mergeCells>
  <pageMargins left="0.75" right="0.75" top="1" bottom="1" header="0.5" footer="0.5"/>
  <pageSetup paperSize="9" orientation="portrait" horizontalDpi="4294967292" verticalDpi="4294967292" r:id="rId1"/>
  <legacyDrawing r:id="rId2"/>
  <controls>
    <control shapeId="8193" r:id="rId3" name="Date4Week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 week survey</vt:lpstr>
      <vt:lpstr>3 week survey</vt:lpstr>
      <vt:lpstr>4 week survey</vt:lpstr>
      <vt:lpstr>5 week survey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Farley</dc:creator>
  <cp:lastModifiedBy>Mathew Farley</cp:lastModifiedBy>
  <cp:lastPrinted>2013-08-05T00:59:24Z</cp:lastPrinted>
  <dcterms:created xsi:type="dcterms:W3CDTF">2013-07-18T03:19:34Z</dcterms:created>
  <dcterms:modified xsi:type="dcterms:W3CDTF">2013-08-05T03:33:18Z</dcterms:modified>
</cp:coreProperties>
</file>